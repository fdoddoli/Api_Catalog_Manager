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atriz de Riesgos" sheetId="1" r:id="rId5"/>
    <sheet state="visible" name="Plan de Mejora" sheetId="2" r:id="rId6"/>
    <sheet state="visible" name="Gestion de Riesgos" sheetId="3" r:id="rId7"/>
    <sheet state="visible" name="Leyenda" sheetId="4" r:id="rId8"/>
  </sheets>
  <definedNames>
    <definedName name="borrardatos">#REF!</definedName>
  </definedNames>
  <calcPr/>
  <extLst>
    <ext uri="GoogleSheetsCustomDataVersion1">
      <go:sheetsCustomData xmlns:go="http://customooxmlschemas.google.com/" r:id="rId9" roundtripDataSignature="AMtx7mjzo9DbLn7DGFVm1jaG3ODRRTRwrw=="/>
    </ext>
  </extLst>
</workbook>
</file>

<file path=xl/sharedStrings.xml><?xml version="1.0" encoding="utf-8"?>
<sst xmlns="http://schemas.openxmlformats.org/spreadsheetml/2006/main" count="146" uniqueCount="124">
  <si>
    <t>MATRIZ DE RIESGOS</t>
  </si>
  <si>
    <t>ID</t>
  </si>
  <si>
    <t>RIESGO</t>
  </si>
  <si>
    <t>WBS</t>
  </si>
  <si>
    <t>Contexto</t>
  </si>
  <si>
    <t>Prob. Ocurr</t>
  </si>
  <si>
    <t>Impacto</t>
  </si>
  <si>
    <t>Factor</t>
  </si>
  <si>
    <t>Nivel</t>
  </si>
  <si>
    <t xml:space="preserve">Controles </t>
  </si>
  <si>
    <t>Estatus</t>
  </si>
  <si>
    <t>RS-01</t>
  </si>
  <si>
    <t>Caída de Azure DevOps</t>
  </si>
  <si>
    <t>Administración del proyecto</t>
  </si>
  <si>
    <t>La planeación del desarrollo de software es llevada acabo a través de Azure DevOps. Por lo tanto si este falla, los desarrolladores no podrán visualizar cosas importantes dentro del desarrollo del proyecto.</t>
  </si>
  <si>
    <t>Preparanos con una plan B para poder llevar a cabo el desarrollo del proyecto como canales de comunicación y estar al tanto de cómo está el proyecto para no solo depender de Azure</t>
  </si>
  <si>
    <t>Se identificó el riesgo: 15/03/2022</t>
  </si>
  <si>
    <t>RS-02</t>
  </si>
  <si>
    <t>Falta de capacitación del equipo de desarrollo</t>
  </si>
  <si>
    <t>Capacitación de lenguaje Angular</t>
  </si>
  <si>
    <r>
      <rPr>
        <rFont val="Arial"/>
        <color theme="1"/>
        <sz val="10.0"/>
      </rPr>
      <t xml:space="preserve">El sistema se desarrollará utilizando el lenguaje de programación </t>
    </r>
    <r>
      <rPr>
        <rFont val="Arial"/>
        <i/>
        <color theme="1"/>
        <sz val="10.0"/>
      </rPr>
      <t>Angular</t>
    </r>
    <r>
      <rPr>
        <rFont val="Arial"/>
        <color theme="1"/>
        <sz val="10.0"/>
      </rPr>
      <t>. Ninguno de los cinco miembros tiene experiencia utilizando dicho lenguaje.</t>
    </r>
  </si>
  <si>
    <r>
      <rPr>
        <rFont val="Arial"/>
        <color theme="1"/>
        <sz val="10.0"/>
      </rPr>
      <t xml:space="preserve">Asistir a clases de capacitación en </t>
    </r>
    <r>
      <rPr>
        <rFont val="Arial"/>
        <i/>
        <color theme="1"/>
        <sz val="10.0"/>
      </rPr>
      <t xml:space="preserve">Angular </t>
    </r>
    <r>
      <rPr>
        <rFont val="Arial"/>
        <color theme="1"/>
        <sz val="10.0"/>
      </rPr>
      <t>e implementar un sistema de autoestudio en el equipo para de esta manera dominar el lenguaje</t>
    </r>
  </si>
  <si>
    <t>RS-03</t>
  </si>
  <si>
    <t>Pérdida de comunicación con el socio formador</t>
  </si>
  <si>
    <t xml:space="preserve">El socio formador es nuestro cliente, por lo que si se pierde comunicación constante con ellos puede que la aplicación no cumpla con sus necesidades. </t>
  </si>
  <si>
    <t>Tener formas de contactarnos con el socio formador en caso de que se ocupe (correo electrónico, teléfono de Inflection Point, ubicación de Inflection Point)</t>
  </si>
  <si>
    <t>RS-04</t>
  </si>
  <si>
    <t>No tener el proyecto terminado antes de la fecha de entrega acordada con el Socio Formador</t>
  </si>
  <si>
    <t>Desarrollo del proyecto</t>
  </si>
  <si>
    <t>Tenemos un tiempo establecido para desarrollar el software. Si no lo tenemos listo antes de la fecha acordada, no cumpliremos con la expectativa del cliente.</t>
  </si>
  <si>
    <t>No subestimar las entregas y gestionar de una mejor manera el proyecto a través de Azure DevOps</t>
  </si>
  <si>
    <t>RS-05</t>
  </si>
  <si>
    <t>El socio formador nos cambia los requerimientos a última hora</t>
  </si>
  <si>
    <t>Comunicación con los stakeholders</t>
  </si>
  <si>
    <t>El proyecto es creado en base a los requerimientos asignados por el socio formador, por lo cual si el socio formador decide cambiar los requerimientos a ultima hora, el proyecto estaría incompleto</t>
  </si>
  <si>
    <t>Mantenernos comunicados con el socio formador lo más posible para que siempre estén al tanto con nuestros avances para asegurar que sea lo que quieren.</t>
  </si>
  <si>
    <t>RS-06</t>
  </si>
  <si>
    <t>Baja calidad de código</t>
  </si>
  <si>
    <t>Calidad de Software</t>
  </si>
  <si>
    <t>Como miembros del equipo serémos responsables de codificar front end y back end del proyecto en Angular y C# respectivamente</t>
  </si>
  <si>
    <t>Empezar a ver tutoriales e investigar y documentarnos acerca de las buenas prácticas para desarollar con software de calidad con código de calidad</t>
  </si>
  <si>
    <t>RS-07</t>
  </si>
  <si>
    <t>Cantidad baja de pruebas de software</t>
  </si>
  <si>
    <t>Una de las prácticas importantes y que muchos desarrolladores no lo llevan a cabo de manera correcta son las pruebas de software. Tenemos que realizar las prubeas suficientes para probar que todo esté bien</t>
  </si>
  <si>
    <t>Investigar y establecer qué tipo de pruebas vamos a realizar para tratar de cubrir y realizar pruebas a todo el software para corroborar que no haya niguna falla</t>
  </si>
  <si>
    <t>RS-08</t>
  </si>
  <si>
    <t>El proyecto no cubre las necesidades del socio formador</t>
  </si>
  <si>
    <t>El proyecto en el que estámos trabajando es para cubrir la necesidad de nuestro cliente, no lo que nosotros creamos que es la necesidad del cliente.</t>
  </si>
  <si>
    <t>Es importante siempre mantener una buena comunicación con el socio formador para no perder el scope del proyecto y que sepan bien los avances que llevamos y cambios que hacemos para ver si seguimos todos en una misma página</t>
  </si>
  <si>
    <t>RS-09</t>
  </si>
  <si>
    <t>Poca escalabilidad y mantenibilidad del proyecto</t>
  </si>
  <si>
    <t>Pudiera ser que el socio formador llegara a querer agregar más funcionalidades al sistema y de no hacer el proyecto de manera correcta esto tal vez no sería posible y si sí, sería muy costoso</t>
  </si>
  <si>
    <t>Llevar a cabo buenas prácticas a la hora de programar el sistema para que no sea difícil agregar funcionalidades y para que futuros miembros del equipo no se les dificulte entender el código</t>
  </si>
  <si>
    <t>RS-10</t>
  </si>
  <si>
    <t>Loggearme a la aplicación utilizando Google</t>
  </si>
  <si>
    <t>Puede ser posible que el equipo no pueda lograr implementar de manera correcta la autenticación a través de Google</t>
  </si>
  <si>
    <t>Investigar con tiempo todos los posibles outcomes para poder preveer los problemas que se no pueda presentar al querer iniciar sesión con Google</t>
  </si>
  <si>
    <t>Se identificó el riesgo: 24/05/2022</t>
  </si>
  <si>
    <t>RS-11</t>
  </si>
  <si>
    <t>No poder cambiar los roles de los usuarios</t>
  </si>
  <si>
    <t>Se necesita poder cambiar los roles de las personas que tengan acceso a la plataforma para poder designar tareas para que de esta manera, no todos sean desarrolladores</t>
  </si>
  <si>
    <t>No dejar la implementación de la cualidad al útlimo</t>
  </si>
  <si>
    <t>RS-12</t>
  </si>
  <si>
    <t>Que no se cambie la navegación del usuario al momento de cambiar su rol</t>
  </si>
  <si>
    <t>Cuando se cambie el rol del usuario, su pantalla se debe de actualizar de acuerdo al rol que se le asignó</t>
  </si>
  <si>
    <t>Documentarse para poder implementar esa cualidad al sistema</t>
  </si>
  <si>
    <t>RS-13</t>
  </si>
  <si>
    <t>Que no se puebe la API</t>
  </si>
  <si>
    <t>Cristóbal Alberto Escamilla Sada</t>
  </si>
  <si>
    <t>A00827074</t>
  </si>
  <si>
    <t>Fernando Doddoli Lankenau</t>
  </si>
  <si>
    <t>A00827038</t>
  </si>
  <si>
    <t>Aldo Beráin Cárdenas</t>
  </si>
  <si>
    <t>A00827874</t>
  </si>
  <si>
    <t>Juan Pablo Yáñez González</t>
  </si>
  <si>
    <t>A00829598</t>
  </si>
  <si>
    <t>Samuel Vieira Restrepo</t>
  </si>
  <si>
    <t>A00828215</t>
  </si>
  <si>
    <t>Actividad que no agrega valor</t>
  </si>
  <si>
    <t>Acción para evitar</t>
  </si>
  <si>
    <t>Descripción de la acción</t>
  </si>
  <si>
    <t>Codificar sin realizar casos de prueba</t>
  </si>
  <si>
    <t>Realizar cambios y/o avances al proyecto sin avisar</t>
  </si>
  <si>
    <t>No hacer uso de herramienta de control de versiones</t>
  </si>
  <si>
    <t>Acciones para evitar riesgos</t>
  </si>
  <si>
    <t>Riesgos posibles evitados</t>
  </si>
  <si>
    <t>Capacitar al equipo para utilizar herramienta de control de versiones</t>
  </si>
  <si>
    <t xml:space="preserve">- Que ocurran problemas a la hora del desarrollo del códigopor falta de comunicación </t>
  </si>
  <si>
    <t>Al momento de tener un nuevo equipo, es importante capactiar sobre el uso de herrramientas de control de versiones como GitHub ya que no se sabe la manera en la que han trabajado anteriormente y muchos nos saben de grandes herramientas que existen que pueden llegar a facilitar el proyecto de manera importante</t>
  </si>
  <si>
    <t>Fomentar el uso de Azure DevOps</t>
  </si>
  <si>
    <t>- Que ocurran problemas a la hora de la gestión del proyecto por falta de comunicación 
- No cumplir con el fecha estimada de entrega</t>
  </si>
  <si>
    <t>Existen muchas herramientas para desarrollar un software sin embargo es importante fomentar el uso de Azure DevOps para que así todo el equipo esté en la misma página y al tanto de los cambios que se han realizado</t>
  </si>
  <si>
    <t>Capacitar al equipo de desarrolladores para que hagan pruebas de software</t>
  </si>
  <si>
    <t>- Encontrarse con bugs a futuro
- Una complejidad alta del código</t>
  </si>
  <si>
    <t>Una de las problemáticas en desarrollo de software es que el proyecto realizado no cumple con las expectativas del cliente y gran parte es porque no se realizan pruebas de software y al realizar pruebas podemos evitarnos de no cumplir con las expectativas del cliente en muchos ámbitos</t>
  </si>
  <si>
    <t>Capacitar al equipo de desarrolladores para que sigan un estándard de código</t>
  </si>
  <si>
    <t>- Que futuros integrantes del equipo no se les dificulte entender el código</t>
  </si>
  <si>
    <t>En el desarrollo de software es muy común que haya nuevos integrantes durante el proyecto y es por eso que seguir un  estandard es importante para que puedan trabajar en el código sin gastar mucho tiempo en entenderlo</t>
  </si>
  <si>
    <t>Una junta semanal</t>
  </si>
  <si>
    <t>- Que algún miembro del equipo pierda avances del proyecto
- Que algún miembro del equipo malentienda algún el propósito de un avance por parte de otro miembro</t>
  </si>
  <si>
    <t>A lo largo del proyecto, debido a que los integrantes tienen diferentes roles, es muy probable que alguno de los integrantes pierda el enfoque en el proyecto. Por eso, en una junta semanal se pueden abordar muchos temas para llevar a cabo una mejor gestión del proyecto</t>
  </si>
  <si>
    <t>Inlcuir gamificación en el proyecto</t>
  </si>
  <si>
    <t>- Que algún miembro del equipo pierda el interés del proyecto
- Que algún miembro del equipo no realice trabajo de calidad por falta de empeño</t>
  </si>
  <si>
    <t>La gamificación es una de las técnicas más utilizada los últimos años para que los empleados de una empresa, tengan una motivación extra para realizar su trabajo.</t>
  </si>
  <si>
    <t>Código</t>
  </si>
  <si>
    <t>Riesgo</t>
  </si>
  <si>
    <t>Descripción</t>
  </si>
  <si>
    <t>LEYENDA</t>
  </si>
  <si>
    <t>GRAVEDAD (IMPACTO)</t>
  </si>
  <si>
    <r>
      <rPr>
        <rFont val="Calibri"/>
        <color theme="1"/>
        <sz val="10.0"/>
      </rPr>
      <t xml:space="preserve">MUY BAJO </t>
    </r>
    <r>
      <rPr>
        <rFont val="Calibri"/>
        <b/>
        <color theme="1"/>
        <sz val="10.0"/>
      </rPr>
      <t>1</t>
    </r>
  </si>
  <si>
    <r>
      <rPr>
        <rFont val="Calibri"/>
        <color theme="1"/>
        <sz val="10.0"/>
      </rPr>
      <t xml:space="preserve">BAJO         </t>
    </r>
    <r>
      <rPr>
        <rFont val="Calibri"/>
        <b/>
        <color theme="1"/>
        <sz val="10.0"/>
      </rPr>
      <t>2</t>
    </r>
  </si>
  <si>
    <r>
      <rPr>
        <rFont val="Calibri"/>
        <color theme="1"/>
        <sz val="10.0"/>
      </rPr>
      <t xml:space="preserve">MEDIO        </t>
    </r>
    <r>
      <rPr>
        <rFont val="Calibri"/>
        <b/>
        <color theme="1"/>
        <sz val="10.0"/>
      </rPr>
      <t>3</t>
    </r>
  </si>
  <si>
    <r>
      <rPr>
        <rFont val="Calibri"/>
        <color theme="1"/>
        <sz val="10.0"/>
      </rPr>
      <t xml:space="preserve">ALTO     </t>
    </r>
    <r>
      <rPr>
        <rFont val="Calibri"/>
        <b/>
        <color theme="1"/>
        <sz val="10.0"/>
      </rPr>
      <t xml:space="preserve"> 4</t>
    </r>
  </si>
  <si>
    <r>
      <rPr>
        <rFont val="Calibri"/>
        <color theme="1"/>
        <sz val="10.0"/>
      </rPr>
      <t xml:space="preserve">MUY ALTO </t>
    </r>
    <r>
      <rPr>
        <rFont val="Calibri"/>
        <b/>
        <color theme="1"/>
        <sz val="10.0"/>
      </rPr>
      <t>5</t>
    </r>
  </si>
  <si>
    <t>PROBABILIDAD</t>
  </si>
  <si>
    <t>MUY ALTA</t>
  </si>
  <si>
    <t>ALTA</t>
  </si>
  <si>
    <t>MEDIA</t>
  </si>
  <si>
    <t>BAJA</t>
  </si>
  <si>
    <t>MUY BAJA</t>
  </si>
  <si>
    <t>Riesgo muy grave. Requiere medidas preventivas urgentes. No se debe iniciar el proyecto sin la aplicación de medidas preventivas urgentes y in acotar sólidamente el riesgo.</t>
  </si>
  <si>
    <t>Riesgo importante. Medidas preventivas obligatorias. Se deben controlar fuertemente las variables de riesgo durante el proyecto.</t>
  </si>
  <si>
    <t>Riesgo apreciable. Estudiar económicamente si es posible introducir medidas preventivas para reducir el nivel de riesgo. Si no fuera posible, mantener las variables controladas.</t>
  </si>
  <si>
    <t>Riesgo marginal. Se vigilará aunque no requiere medidas preventivas de partida.</t>
  </si>
</sst>
</file>

<file path=xl/styles.xml><?xml version="1.0" encoding="utf-8"?>
<styleSheet xmlns="http://schemas.openxmlformats.org/spreadsheetml/2006/main" xmlns:x14ac="http://schemas.microsoft.com/office/spreadsheetml/2009/9/ac" xmlns:mc="http://schemas.openxmlformats.org/markup-compatibility/2006">
  <fonts count="17">
    <font>
      <sz val="10.0"/>
      <color rgb="FF000000"/>
      <name val="Calibri"/>
      <scheme val="minor"/>
    </font>
    <font>
      <b/>
      <sz val="14.0"/>
      <color theme="1"/>
      <name val="Arial"/>
    </font>
    <font/>
    <font>
      <sz val="14.0"/>
      <color theme="1"/>
      <name val="Arial"/>
    </font>
    <font>
      <b/>
      <sz val="12.0"/>
      <color theme="1"/>
      <name val="Arial"/>
    </font>
    <font>
      <b/>
      <sz val="10.0"/>
      <color theme="1"/>
      <name val="Arial"/>
    </font>
    <font>
      <sz val="10.0"/>
      <color theme="1"/>
      <name val="Arial"/>
    </font>
    <font>
      <color theme="1"/>
      <name val="Calibri"/>
    </font>
    <font>
      <color rgb="FF000000"/>
      <name val="Calibri"/>
    </font>
    <font>
      <color theme="1"/>
      <name val="Montserrat"/>
    </font>
    <font>
      <b/>
      <color theme="1"/>
      <name val="Montserrat"/>
    </font>
    <font>
      <b/>
      <color theme="1"/>
      <name val="Calibri"/>
      <scheme val="minor"/>
    </font>
    <font>
      <color theme="1"/>
      <name val="Calibri"/>
      <scheme val="minor"/>
    </font>
    <font>
      <b/>
      <sz val="14.0"/>
      <color theme="1"/>
      <name val="Calibri"/>
      <scheme val="minor"/>
    </font>
    <font>
      <sz val="10.0"/>
      <color theme="1"/>
      <name val="Calibri"/>
      <scheme val="minor"/>
    </font>
    <font>
      <b/>
      <sz val="10.0"/>
      <color theme="1"/>
      <name val="Calibri"/>
      <scheme val="minor"/>
    </font>
    <font>
      <b/>
      <sz val="9.0"/>
      <color theme="1"/>
      <name val="Calibri"/>
      <scheme val="minor"/>
    </font>
  </fonts>
  <fills count="9">
    <fill>
      <patternFill patternType="none"/>
    </fill>
    <fill>
      <patternFill patternType="lightGray"/>
    </fill>
    <fill>
      <patternFill patternType="solid">
        <fgColor rgb="FFFFFF99"/>
        <bgColor rgb="FFFFFF99"/>
      </patternFill>
    </fill>
    <fill>
      <patternFill patternType="solid">
        <fgColor rgb="FFFF9900"/>
        <bgColor rgb="FFFF9900"/>
      </patternFill>
    </fill>
    <fill>
      <patternFill patternType="solid">
        <fgColor rgb="FFC0C0C0"/>
        <bgColor rgb="FFC0C0C0"/>
      </patternFill>
    </fill>
    <fill>
      <patternFill patternType="solid">
        <fgColor rgb="FFFFFFFF"/>
        <bgColor rgb="FFFFFFFF"/>
      </patternFill>
    </fill>
    <fill>
      <patternFill patternType="solid">
        <fgColor rgb="FFFFCC99"/>
        <bgColor rgb="FFFFCC99"/>
      </patternFill>
    </fill>
    <fill>
      <patternFill patternType="solid">
        <fgColor rgb="FFFCE5CD"/>
        <bgColor rgb="FFFCE5CD"/>
      </patternFill>
    </fill>
    <fill>
      <patternFill patternType="solid">
        <fgColor rgb="FFFF0000"/>
        <bgColor rgb="FFFF0000"/>
      </patternFill>
    </fill>
  </fills>
  <borders count="17">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
      <left style="thin">
        <color rgb="FF000000"/>
      </left>
      <right style="thin">
        <color rgb="FF000000"/>
      </right>
      <top style="thin">
        <color rgb="FF000000"/>
      </top>
    </border>
  </borders>
  <cellStyleXfs count="1">
    <xf borderId="0" fillId="0" fontId="0" numFmtId="0" applyAlignment="1" applyFont="1"/>
  </cellStyleXfs>
  <cellXfs count="61">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0"/>
    </xf>
    <xf borderId="2" fillId="0" fontId="2" numFmtId="0" xfId="0" applyBorder="1" applyFont="1"/>
    <xf borderId="3" fillId="0" fontId="2" numFmtId="0" xfId="0" applyBorder="1" applyFont="1"/>
    <xf borderId="0" fillId="0" fontId="3" numFmtId="0" xfId="0" applyAlignment="1" applyFont="1">
      <alignment shrinkToFit="0" vertical="center" wrapText="0"/>
    </xf>
    <xf borderId="4" fillId="3" fontId="4" numFmtId="0" xfId="0" applyAlignment="1" applyBorder="1" applyFill="1" applyFont="1">
      <alignment horizontal="center" shrinkToFit="0" vertical="center" wrapText="0"/>
    </xf>
    <xf borderId="4" fillId="3" fontId="5" numFmtId="0" xfId="0" applyAlignment="1" applyBorder="1" applyFont="1">
      <alignment shrinkToFit="0" vertical="bottom" wrapText="1"/>
    </xf>
    <xf borderId="4" fillId="3" fontId="5" numFmtId="0" xfId="0" applyAlignment="1" applyBorder="1" applyFont="1">
      <alignment shrinkToFit="0" vertical="bottom" wrapText="0"/>
    </xf>
    <xf borderId="4" fillId="3" fontId="5" numFmtId="0" xfId="0" applyAlignment="1" applyBorder="1" applyFont="1">
      <alignment horizontal="center" shrinkToFit="0" vertical="bottom" wrapText="0"/>
    </xf>
    <xf borderId="4" fillId="0" fontId="6" numFmtId="0" xfId="0" applyAlignment="1" applyBorder="1" applyFont="1">
      <alignment horizontal="center" readingOrder="0" shrinkToFit="0" vertical="center" wrapText="1"/>
    </xf>
    <xf borderId="4" fillId="4" fontId="6" numFmtId="0" xfId="0" applyAlignment="1" applyBorder="1" applyFill="1" applyFont="1">
      <alignment horizontal="center" shrinkToFit="0" vertical="center" wrapText="1"/>
    </xf>
    <xf borderId="4" fillId="4" fontId="6" numFmtId="0" xfId="0" applyAlignment="1" applyBorder="1" applyFont="1">
      <alignment horizontal="center" shrinkToFit="0" vertical="center" wrapText="0"/>
    </xf>
    <xf borderId="4" fillId="0" fontId="6" numFmtId="0" xfId="0" applyAlignment="1" applyBorder="1" applyFont="1">
      <alignment horizontal="center" shrinkToFit="0" vertical="center" wrapText="1"/>
    </xf>
    <xf borderId="4" fillId="0" fontId="7" numFmtId="0" xfId="0" applyAlignment="1" applyBorder="1" applyFont="1">
      <alignment readingOrder="0"/>
    </xf>
    <xf borderId="4" fillId="5" fontId="8" numFmtId="0" xfId="0" applyAlignment="1" applyBorder="1" applyFill="1" applyFont="1">
      <alignment horizontal="left" readingOrder="0"/>
    </xf>
    <xf borderId="0" fillId="0" fontId="9" numFmtId="0" xfId="0" applyFont="1"/>
    <xf borderId="0" fillId="6" fontId="10" numFmtId="0" xfId="0" applyAlignment="1" applyFill="1" applyFont="1">
      <alignment horizontal="center" readingOrder="0"/>
    </xf>
    <xf borderId="0" fillId="0" fontId="9" numFmtId="0" xfId="0" applyAlignment="1" applyFont="1">
      <alignment horizontal="center" readingOrder="0" shrinkToFit="0" vertical="center" wrapText="1"/>
    </xf>
    <xf borderId="0" fillId="0" fontId="9" numFmtId="0" xfId="0" applyAlignment="1" applyFont="1">
      <alignment readingOrder="0"/>
    </xf>
    <xf borderId="5" fillId="6" fontId="10" numFmtId="0" xfId="0" applyAlignment="1" applyBorder="1" applyFont="1">
      <alignment horizontal="center" readingOrder="0" shrinkToFit="0" vertical="center" wrapText="1"/>
    </xf>
    <xf borderId="6" fillId="6" fontId="10" numFmtId="0" xfId="0" applyAlignment="1" applyBorder="1" applyFont="1">
      <alignment horizontal="center" readingOrder="0" shrinkToFit="0" vertical="center" wrapText="1"/>
    </xf>
    <xf borderId="7" fillId="6" fontId="10" numFmtId="0" xfId="0" applyAlignment="1" applyBorder="1" applyFont="1">
      <alignment horizontal="center" readingOrder="0" shrinkToFit="0" vertical="center" wrapText="1"/>
    </xf>
    <xf borderId="8" fillId="0" fontId="9" numFmtId="0" xfId="0" applyAlignment="1" applyBorder="1" applyFont="1">
      <alignment horizontal="center" readingOrder="0" shrinkToFit="0" vertical="center" wrapText="1"/>
    </xf>
    <xf borderId="9" fillId="0" fontId="9" numFmtId="0" xfId="0" applyAlignment="1" applyBorder="1" applyFont="1">
      <alignment horizontal="center" readingOrder="0" shrinkToFit="0" vertical="center" wrapText="1"/>
    </xf>
    <xf borderId="10" fillId="0" fontId="9" numFmtId="0" xfId="0" applyAlignment="1" applyBorder="1" applyFont="1">
      <alignment horizontal="center" readingOrder="0" shrinkToFit="0" vertical="center" wrapText="1"/>
    </xf>
    <xf borderId="0" fillId="0" fontId="9" numFmtId="0" xfId="0" applyAlignment="1" applyFont="1">
      <alignment horizontal="center" shrinkToFit="0" vertical="center" wrapText="1"/>
    </xf>
    <xf borderId="0" fillId="7" fontId="11" numFmtId="0" xfId="0" applyAlignment="1" applyFill="1" applyFont="1">
      <alignment horizontal="center" readingOrder="0" vertical="center"/>
    </xf>
    <xf borderId="4" fillId="0" fontId="12" numFmtId="0" xfId="0" applyAlignment="1" applyBorder="1" applyFont="1">
      <alignment horizontal="center" shrinkToFit="0" vertical="center" wrapText="1"/>
    </xf>
    <xf borderId="11" fillId="6" fontId="13" numFmtId="0" xfId="0" applyAlignment="1" applyBorder="1" applyFont="1">
      <alignment horizontal="center" shrinkToFit="0" vertical="center" wrapText="0"/>
    </xf>
    <xf borderId="12" fillId="0" fontId="2" numFmtId="0" xfId="0" applyBorder="1" applyFont="1"/>
    <xf borderId="13" fillId="0" fontId="2" numFmtId="0" xfId="0" applyBorder="1" applyFont="1"/>
    <xf borderId="11" fillId="4" fontId="14" numFmtId="0" xfId="0" applyAlignment="1" applyBorder="1" applyFont="1">
      <alignment shrinkToFit="0" vertical="bottom" wrapText="0"/>
    </xf>
    <xf borderId="12" fillId="4" fontId="12" numFmtId="0" xfId="0" applyBorder="1" applyFont="1"/>
    <xf borderId="13" fillId="4" fontId="12" numFmtId="0" xfId="0" applyBorder="1" applyFont="1"/>
    <xf borderId="6" fillId="2" fontId="15" numFmtId="0" xfId="0" applyAlignment="1" applyBorder="1" applyFont="1">
      <alignment horizontal="center" shrinkToFit="0" vertical="center" wrapText="0"/>
    </xf>
    <xf borderId="6" fillId="0" fontId="2" numFmtId="0" xfId="0" applyBorder="1" applyFont="1"/>
    <xf borderId="7" fillId="0" fontId="2" numFmtId="0" xfId="0" applyBorder="1" applyFont="1"/>
    <xf borderId="8" fillId="4" fontId="12" numFmtId="0" xfId="0" applyBorder="1" applyFont="1"/>
    <xf borderId="9" fillId="4" fontId="12" numFmtId="0" xfId="0" applyBorder="1" applyFont="1"/>
    <xf borderId="10" fillId="4" fontId="12" numFmtId="0" xfId="0" applyBorder="1" applyFont="1"/>
    <xf borderId="7" fillId="4" fontId="14" numFmtId="0" xfId="0" applyAlignment="1" applyBorder="1" applyFont="1">
      <alignment horizontal="center" shrinkToFit="0" vertical="center" wrapText="0"/>
    </xf>
    <xf borderId="4" fillId="4" fontId="14" numFmtId="0" xfId="0" applyAlignment="1" applyBorder="1" applyFont="1">
      <alignment horizontal="center" shrinkToFit="0" vertical="center" wrapText="0"/>
    </xf>
    <xf borderId="14" fillId="2" fontId="16" numFmtId="0" xfId="0" applyAlignment="1" applyBorder="1" applyFont="1">
      <alignment horizontal="center" shrinkToFit="0" vertical="center" wrapText="0"/>
    </xf>
    <xf borderId="15" fillId="4" fontId="14" numFmtId="0" xfId="0" applyAlignment="1" applyBorder="1" applyFont="1">
      <alignment horizontal="center" shrinkToFit="0" vertical="bottom" wrapText="0"/>
    </xf>
    <xf borderId="15" fillId="4" fontId="15" numFmtId="0" xfId="0" applyAlignment="1" applyBorder="1" applyFont="1">
      <alignment horizontal="center" shrinkToFit="0" vertical="bottom" wrapText="0"/>
    </xf>
    <xf borderId="4" fillId="2" fontId="14" numFmtId="0" xfId="0" applyAlignment="1" applyBorder="1" applyFont="1">
      <alignment horizontal="center" shrinkToFit="0" vertical="bottom" wrapText="0"/>
    </xf>
    <xf borderId="4" fillId="3" fontId="14" numFmtId="0" xfId="0" applyAlignment="1" applyBorder="1" applyFont="1">
      <alignment horizontal="center" shrinkToFit="0" vertical="bottom" wrapText="0"/>
    </xf>
    <xf borderId="4" fillId="8" fontId="14" numFmtId="0" xfId="0" applyAlignment="1" applyBorder="1" applyFill="1" applyFont="1">
      <alignment horizontal="center" shrinkToFit="0" vertical="bottom" wrapText="0"/>
    </xf>
    <xf borderId="14" fillId="0" fontId="2" numFmtId="0" xfId="0" applyBorder="1" applyFont="1"/>
    <xf borderId="4" fillId="4" fontId="14" numFmtId="0" xfId="0" applyAlignment="1" applyBorder="1" applyFont="1">
      <alignment horizontal="center" shrinkToFit="0" vertical="bottom" wrapText="0"/>
    </xf>
    <xf borderId="4" fillId="4" fontId="15" numFmtId="0" xfId="0" applyAlignment="1" applyBorder="1" applyFont="1">
      <alignment horizontal="center" shrinkToFit="0" vertical="bottom" wrapText="0"/>
    </xf>
    <xf borderId="4" fillId="0" fontId="14" numFmtId="0" xfId="0" applyAlignment="1" applyBorder="1" applyFont="1">
      <alignment horizontal="center" shrinkToFit="0" vertical="bottom" wrapText="0"/>
    </xf>
    <xf borderId="15" fillId="0" fontId="2" numFmtId="0" xfId="0" applyBorder="1" applyFont="1"/>
    <xf borderId="16" fillId="8" fontId="14" numFmtId="0" xfId="0" applyAlignment="1" applyBorder="1" applyFont="1">
      <alignment horizontal="left" shrinkToFit="0" vertical="center" wrapText="1"/>
    </xf>
    <xf borderId="11" fillId="4" fontId="12" numFmtId="0" xfId="0" applyAlignment="1" applyBorder="1" applyFont="1">
      <alignment horizontal="left" readingOrder="0" shrinkToFit="0" vertical="center" wrapText="1"/>
    </xf>
    <xf borderId="8" fillId="0" fontId="2" numFmtId="0" xfId="0" applyBorder="1" applyFont="1"/>
    <xf borderId="9" fillId="0" fontId="2" numFmtId="0" xfId="0" applyBorder="1" applyFont="1"/>
    <xf borderId="10" fillId="0" fontId="2" numFmtId="0" xfId="0" applyBorder="1" applyFont="1"/>
    <xf borderId="16" fillId="3" fontId="14" numFmtId="0" xfId="0" applyAlignment="1" applyBorder="1" applyFont="1">
      <alignment horizontal="left" shrinkToFit="0" vertical="center" wrapText="1"/>
    </xf>
    <xf borderId="16" fillId="2" fontId="14" numFmtId="0" xfId="0" applyAlignment="1" applyBorder="1" applyFont="1">
      <alignment horizontal="left" shrinkToFit="0" vertical="center" wrapText="1"/>
    </xf>
    <xf borderId="16" fillId="0" fontId="12" numFmtId="0" xfId="0" applyAlignment="1" applyBorder="1" applyFont="1">
      <alignment horizontal="lef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showGridLines="0" workbookViewId="0"/>
  </sheetViews>
  <sheetFormatPr customHeight="1" defaultColWidth="14.43" defaultRowHeight="15.0"/>
  <cols>
    <col customWidth="1" min="1" max="1" width="8.29"/>
    <col customWidth="1" min="2" max="2" width="26.29"/>
    <col customWidth="1" min="3" max="4" width="32.0"/>
    <col customWidth="1" min="5" max="5" width="10.43"/>
    <col customWidth="1" min="6" max="6" width="9.0"/>
    <col customWidth="1" min="7" max="7" width="10.0"/>
    <col customWidth="1" min="8" max="8" width="11.86"/>
    <col customWidth="1" min="9" max="9" width="47.14"/>
    <col customWidth="1" min="10" max="10" width="23.14"/>
    <col customWidth="1" min="11" max="11" width="14.71"/>
    <col customWidth="1" min="12" max="12" width="13.0"/>
    <col customWidth="1" min="13" max="13" width="9.57"/>
    <col customWidth="1" min="14" max="14" width="3.43"/>
    <col customWidth="1" min="15" max="15" width="10.43"/>
    <col customWidth="1" min="16" max="16" width="11.71"/>
    <col customWidth="1" min="17" max="17" width="13.0"/>
    <col customWidth="1" min="18" max="18" width="9.86"/>
    <col customWidth="1" min="19" max="19" width="12.57"/>
    <col customWidth="1" min="20" max="31" width="10.0"/>
  </cols>
  <sheetData>
    <row r="1" ht="43.5" customHeight="1">
      <c r="A1" s="1" t="s">
        <v>0</v>
      </c>
      <c r="B1" s="2"/>
      <c r="C1" s="2"/>
      <c r="D1" s="2"/>
      <c r="E1" s="2"/>
      <c r="F1" s="2"/>
      <c r="G1" s="2"/>
      <c r="H1" s="2"/>
      <c r="I1" s="2"/>
      <c r="J1" s="3"/>
    </row>
    <row r="2" ht="20.25" customHeight="1">
      <c r="K2" s="4"/>
    </row>
    <row r="3" ht="51.0" customHeight="1">
      <c r="A3" s="5" t="s">
        <v>1</v>
      </c>
      <c r="B3" s="5" t="s">
        <v>2</v>
      </c>
      <c r="C3" s="5" t="s">
        <v>3</v>
      </c>
      <c r="D3" s="5" t="s">
        <v>4</v>
      </c>
      <c r="E3" s="6" t="s">
        <v>5</v>
      </c>
      <c r="F3" s="7" t="s">
        <v>6</v>
      </c>
      <c r="G3" s="8" t="s">
        <v>7</v>
      </c>
      <c r="H3" s="8" t="s">
        <v>8</v>
      </c>
      <c r="I3" s="8" t="s">
        <v>9</v>
      </c>
      <c r="J3" s="8" t="s">
        <v>10</v>
      </c>
    </row>
    <row r="4" ht="85.5" customHeight="1">
      <c r="A4" s="9" t="s">
        <v>11</v>
      </c>
      <c r="B4" s="9" t="s">
        <v>12</v>
      </c>
      <c r="C4" s="9" t="s">
        <v>13</v>
      </c>
      <c r="D4" s="9" t="s">
        <v>14</v>
      </c>
      <c r="E4" s="9">
        <v>2.0</v>
      </c>
      <c r="F4" s="9">
        <v>4.0</v>
      </c>
      <c r="G4" s="10">
        <f t="shared" ref="G4:G16" si="1">E4*F4</f>
        <v>8</v>
      </c>
      <c r="H4" s="11" t="str">
        <f t="shared" ref="H4:H16" si="2">IF(AND(15&lt;=G4,G4&lt;=25),"Muy grave",IF(9&lt;=G4,"Importante",IF(3&lt;=G4,"Apreciable","Marginal")))</f>
        <v>Apreciable</v>
      </c>
      <c r="I4" s="9" t="s">
        <v>15</v>
      </c>
      <c r="J4" s="9" t="s">
        <v>16</v>
      </c>
    </row>
    <row r="5" ht="85.5" customHeight="1">
      <c r="A5" s="9" t="s">
        <v>17</v>
      </c>
      <c r="B5" s="9" t="s">
        <v>18</v>
      </c>
      <c r="C5" s="9" t="s">
        <v>19</v>
      </c>
      <c r="D5" s="9" t="s">
        <v>20</v>
      </c>
      <c r="E5" s="9">
        <v>2.0</v>
      </c>
      <c r="F5" s="12">
        <v>5.0</v>
      </c>
      <c r="G5" s="10">
        <f t="shared" si="1"/>
        <v>10</v>
      </c>
      <c r="H5" s="11" t="str">
        <f t="shared" si="2"/>
        <v>Importante</v>
      </c>
      <c r="I5" s="9" t="s">
        <v>21</v>
      </c>
      <c r="J5" s="9" t="s">
        <v>16</v>
      </c>
    </row>
    <row r="6" ht="85.5" customHeight="1">
      <c r="A6" s="9" t="s">
        <v>22</v>
      </c>
      <c r="B6" s="12" t="s">
        <v>23</v>
      </c>
      <c r="C6" s="9" t="s">
        <v>13</v>
      </c>
      <c r="D6" s="12" t="s">
        <v>24</v>
      </c>
      <c r="E6" s="12">
        <v>2.0</v>
      </c>
      <c r="F6" s="12">
        <v>5.0</v>
      </c>
      <c r="G6" s="10">
        <f t="shared" si="1"/>
        <v>10</v>
      </c>
      <c r="H6" s="11" t="str">
        <f t="shared" si="2"/>
        <v>Importante</v>
      </c>
      <c r="I6" s="9" t="s">
        <v>25</v>
      </c>
      <c r="J6" s="9" t="s">
        <v>16</v>
      </c>
    </row>
    <row r="7" ht="85.5" customHeight="1">
      <c r="A7" s="9" t="s">
        <v>26</v>
      </c>
      <c r="B7" s="9" t="s">
        <v>27</v>
      </c>
      <c r="C7" s="9" t="s">
        <v>28</v>
      </c>
      <c r="D7" s="9" t="s">
        <v>29</v>
      </c>
      <c r="E7" s="9">
        <v>4.0</v>
      </c>
      <c r="F7" s="9">
        <v>5.0</v>
      </c>
      <c r="G7" s="10">
        <f t="shared" si="1"/>
        <v>20</v>
      </c>
      <c r="H7" s="11" t="str">
        <f t="shared" si="2"/>
        <v>Muy grave</v>
      </c>
      <c r="I7" s="9" t="s">
        <v>30</v>
      </c>
      <c r="J7" s="9" t="s">
        <v>16</v>
      </c>
    </row>
    <row r="8" ht="85.5" customHeight="1">
      <c r="A8" s="9" t="s">
        <v>31</v>
      </c>
      <c r="B8" s="12" t="s">
        <v>32</v>
      </c>
      <c r="C8" s="9" t="s">
        <v>33</v>
      </c>
      <c r="D8" s="12" t="s">
        <v>34</v>
      </c>
      <c r="E8" s="12">
        <v>2.0</v>
      </c>
      <c r="F8" s="12">
        <v>5.0</v>
      </c>
      <c r="G8" s="10">
        <f t="shared" si="1"/>
        <v>10</v>
      </c>
      <c r="H8" s="11" t="str">
        <f t="shared" si="2"/>
        <v>Importante</v>
      </c>
      <c r="I8" s="12" t="s">
        <v>35</v>
      </c>
      <c r="J8" s="9" t="s">
        <v>16</v>
      </c>
    </row>
    <row r="9" ht="85.5" customHeight="1">
      <c r="A9" s="9" t="s">
        <v>36</v>
      </c>
      <c r="B9" s="9" t="s">
        <v>37</v>
      </c>
      <c r="C9" s="9" t="s">
        <v>38</v>
      </c>
      <c r="D9" s="9" t="s">
        <v>39</v>
      </c>
      <c r="E9" s="12">
        <v>3.0</v>
      </c>
      <c r="F9" s="9">
        <v>4.0</v>
      </c>
      <c r="G9" s="10">
        <f t="shared" si="1"/>
        <v>12</v>
      </c>
      <c r="H9" s="11" t="str">
        <f t="shared" si="2"/>
        <v>Importante</v>
      </c>
      <c r="I9" s="9" t="s">
        <v>40</v>
      </c>
      <c r="J9" s="9" t="s">
        <v>16</v>
      </c>
    </row>
    <row r="10" ht="85.5" customHeight="1">
      <c r="A10" s="9" t="s">
        <v>41</v>
      </c>
      <c r="B10" s="9" t="s">
        <v>42</v>
      </c>
      <c r="C10" s="9" t="s">
        <v>38</v>
      </c>
      <c r="D10" s="9" t="s">
        <v>43</v>
      </c>
      <c r="E10" s="12">
        <v>2.0</v>
      </c>
      <c r="F10" s="12">
        <v>5.0</v>
      </c>
      <c r="G10" s="10">
        <f t="shared" si="1"/>
        <v>10</v>
      </c>
      <c r="H10" s="11" t="str">
        <f t="shared" si="2"/>
        <v>Importante</v>
      </c>
      <c r="I10" s="9" t="s">
        <v>44</v>
      </c>
      <c r="J10" s="9" t="s">
        <v>16</v>
      </c>
    </row>
    <row r="11" ht="85.5" customHeight="1">
      <c r="A11" s="9" t="s">
        <v>45</v>
      </c>
      <c r="B11" s="9" t="s">
        <v>46</v>
      </c>
      <c r="C11" s="9" t="s">
        <v>33</v>
      </c>
      <c r="D11" s="9" t="s">
        <v>47</v>
      </c>
      <c r="E11" s="9">
        <v>4.0</v>
      </c>
      <c r="F11" s="9">
        <v>5.0</v>
      </c>
      <c r="G11" s="10">
        <f t="shared" si="1"/>
        <v>20</v>
      </c>
      <c r="H11" s="11" t="str">
        <f t="shared" si="2"/>
        <v>Muy grave</v>
      </c>
      <c r="I11" s="9" t="s">
        <v>48</v>
      </c>
      <c r="J11" s="9" t="s">
        <v>16</v>
      </c>
    </row>
    <row r="12" ht="85.5" customHeight="1">
      <c r="A12" s="9" t="s">
        <v>49</v>
      </c>
      <c r="B12" s="9" t="s">
        <v>50</v>
      </c>
      <c r="C12" s="9" t="s">
        <v>28</v>
      </c>
      <c r="D12" s="9" t="s">
        <v>51</v>
      </c>
      <c r="E12" s="12">
        <v>3.0</v>
      </c>
      <c r="F12" s="9">
        <v>3.0</v>
      </c>
      <c r="G12" s="10">
        <f t="shared" si="1"/>
        <v>9</v>
      </c>
      <c r="H12" s="11" t="str">
        <f t="shared" si="2"/>
        <v>Importante</v>
      </c>
      <c r="I12" s="9" t="s">
        <v>52</v>
      </c>
      <c r="J12" s="9" t="s">
        <v>16</v>
      </c>
    </row>
    <row r="13" ht="85.5" customHeight="1">
      <c r="A13" s="9" t="s">
        <v>53</v>
      </c>
      <c r="B13" s="9" t="s">
        <v>54</v>
      </c>
      <c r="C13" s="9" t="s">
        <v>28</v>
      </c>
      <c r="D13" s="9" t="s">
        <v>55</v>
      </c>
      <c r="E13" s="12">
        <v>3.0</v>
      </c>
      <c r="F13" s="9">
        <v>4.0</v>
      </c>
      <c r="G13" s="10">
        <f t="shared" si="1"/>
        <v>12</v>
      </c>
      <c r="H13" s="11" t="str">
        <f t="shared" si="2"/>
        <v>Importante</v>
      </c>
      <c r="I13" s="9" t="s">
        <v>56</v>
      </c>
      <c r="J13" s="9" t="s">
        <v>57</v>
      </c>
    </row>
    <row r="14" ht="85.5" customHeight="1">
      <c r="A14" s="9" t="s">
        <v>58</v>
      </c>
      <c r="B14" s="9" t="s">
        <v>59</v>
      </c>
      <c r="C14" s="9" t="s">
        <v>28</v>
      </c>
      <c r="D14" s="9" t="s">
        <v>60</v>
      </c>
      <c r="E14" s="9">
        <v>1.0</v>
      </c>
      <c r="F14" s="9">
        <v>1.0</v>
      </c>
      <c r="G14" s="10">
        <f t="shared" si="1"/>
        <v>1</v>
      </c>
      <c r="H14" s="11" t="str">
        <f t="shared" si="2"/>
        <v>Marginal</v>
      </c>
      <c r="I14" s="9" t="s">
        <v>61</v>
      </c>
      <c r="J14" s="9" t="s">
        <v>57</v>
      </c>
    </row>
    <row r="15" ht="85.5" customHeight="1">
      <c r="A15" s="9" t="s">
        <v>62</v>
      </c>
      <c r="B15" s="9" t="s">
        <v>63</v>
      </c>
      <c r="C15" s="9" t="s">
        <v>28</v>
      </c>
      <c r="D15" s="9" t="s">
        <v>64</v>
      </c>
      <c r="E15" s="9">
        <v>2.0</v>
      </c>
      <c r="F15" s="9">
        <v>2.0</v>
      </c>
      <c r="G15" s="10">
        <f t="shared" si="1"/>
        <v>4</v>
      </c>
      <c r="H15" s="11" t="str">
        <f t="shared" si="2"/>
        <v>Apreciable</v>
      </c>
      <c r="I15" s="9" t="s">
        <v>65</v>
      </c>
      <c r="J15" s="9" t="s">
        <v>57</v>
      </c>
    </row>
    <row r="16" ht="85.5" customHeight="1">
      <c r="A16" s="9" t="s">
        <v>66</v>
      </c>
      <c r="B16" s="9" t="s">
        <v>67</v>
      </c>
      <c r="C16" s="9" t="s">
        <v>28</v>
      </c>
      <c r="D16" s="9" t="s">
        <v>51</v>
      </c>
      <c r="E16" s="12">
        <v>3.0</v>
      </c>
      <c r="F16" s="9">
        <v>3.0</v>
      </c>
      <c r="G16" s="10">
        <f t="shared" si="1"/>
        <v>9</v>
      </c>
      <c r="H16" s="11" t="str">
        <f t="shared" si="2"/>
        <v>Importante</v>
      </c>
      <c r="I16" s="9" t="s">
        <v>52</v>
      </c>
      <c r="J16" s="9" t="s">
        <v>57</v>
      </c>
    </row>
    <row r="17" ht="12.75" customHeight="1">
      <c r="B17" s="13"/>
      <c r="C17" s="14"/>
    </row>
    <row r="18" ht="12.75" customHeight="1">
      <c r="B18" s="13" t="s">
        <v>68</v>
      </c>
      <c r="C18" s="14" t="s">
        <v>69</v>
      </c>
    </row>
    <row r="19" ht="12.75" customHeight="1">
      <c r="B19" s="13" t="s">
        <v>70</v>
      </c>
      <c r="C19" s="13" t="s">
        <v>71</v>
      </c>
    </row>
    <row r="20" ht="12.75" customHeight="1">
      <c r="B20" s="13" t="s">
        <v>72</v>
      </c>
      <c r="C20" s="13" t="s">
        <v>73</v>
      </c>
    </row>
    <row r="21" ht="12.75" customHeight="1">
      <c r="B21" s="13" t="s">
        <v>74</v>
      </c>
      <c r="C21" s="13" t="s">
        <v>75</v>
      </c>
    </row>
    <row r="22" ht="12.75" customHeight="1">
      <c r="B22" s="13" t="s">
        <v>76</v>
      </c>
      <c r="C22" s="13" t="s">
        <v>77</v>
      </c>
    </row>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sheetData>
  <mergeCells count="1">
    <mergeCell ref="A1:J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cols>
    <col customWidth="1" min="3" max="3" width="48.14"/>
    <col customWidth="1" min="4" max="4" width="30.43"/>
    <col customWidth="1" min="5" max="5" width="69.29"/>
  </cols>
  <sheetData>
    <row r="1">
      <c r="A1" s="15"/>
      <c r="B1" s="15"/>
      <c r="C1" s="15"/>
      <c r="D1" s="15"/>
      <c r="E1" s="15"/>
      <c r="F1" s="15"/>
      <c r="G1" s="15"/>
      <c r="H1" s="15"/>
      <c r="I1" s="15"/>
      <c r="J1" s="15"/>
      <c r="K1" s="15"/>
      <c r="L1" s="15"/>
      <c r="M1" s="15"/>
      <c r="N1" s="15"/>
      <c r="O1" s="15"/>
      <c r="P1" s="15"/>
      <c r="Q1" s="15"/>
      <c r="R1" s="15"/>
      <c r="S1" s="15"/>
      <c r="T1" s="15"/>
      <c r="U1" s="15"/>
      <c r="V1" s="15"/>
      <c r="W1" s="15"/>
      <c r="X1" s="15"/>
      <c r="Y1" s="15"/>
      <c r="Z1" s="15"/>
    </row>
    <row r="2">
      <c r="A2" s="15"/>
      <c r="B2" s="15"/>
      <c r="C2" s="15"/>
      <c r="D2" s="15"/>
      <c r="E2" s="15"/>
      <c r="F2" s="15"/>
      <c r="G2" s="15"/>
      <c r="H2" s="15"/>
      <c r="I2" s="15"/>
      <c r="J2" s="15"/>
      <c r="K2" s="15"/>
      <c r="L2" s="15"/>
      <c r="M2" s="15"/>
      <c r="N2" s="15"/>
      <c r="O2" s="15"/>
      <c r="P2" s="15"/>
      <c r="Q2" s="15"/>
      <c r="R2" s="15"/>
      <c r="S2" s="15"/>
      <c r="T2" s="15"/>
      <c r="U2" s="15"/>
      <c r="V2" s="15"/>
      <c r="W2" s="15"/>
      <c r="X2" s="15"/>
      <c r="Y2" s="15"/>
      <c r="Z2" s="15"/>
    </row>
    <row r="3">
      <c r="A3" s="15"/>
      <c r="B3" s="15"/>
      <c r="C3" s="16" t="s">
        <v>78</v>
      </c>
      <c r="D3" s="16" t="s">
        <v>79</v>
      </c>
      <c r="E3" s="16" t="s">
        <v>80</v>
      </c>
      <c r="F3" s="15"/>
      <c r="G3" s="15"/>
      <c r="H3" s="15"/>
      <c r="I3" s="15"/>
      <c r="J3" s="15"/>
      <c r="K3" s="15"/>
      <c r="L3" s="15"/>
      <c r="M3" s="15"/>
      <c r="N3" s="15"/>
      <c r="O3" s="15"/>
      <c r="P3" s="15"/>
      <c r="Q3" s="15"/>
      <c r="R3" s="15"/>
      <c r="S3" s="15"/>
      <c r="T3" s="15"/>
      <c r="U3" s="15"/>
      <c r="V3" s="15"/>
      <c r="W3" s="15"/>
      <c r="X3" s="15"/>
      <c r="Y3" s="15"/>
      <c r="Z3" s="15"/>
    </row>
    <row r="4">
      <c r="A4" s="15"/>
      <c r="B4" s="15"/>
      <c r="C4" s="17" t="s">
        <v>81</v>
      </c>
      <c r="D4" s="15"/>
      <c r="E4" s="15"/>
      <c r="F4" s="15"/>
      <c r="G4" s="15"/>
      <c r="H4" s="15"/>
      <c r="I4" s="15"/>
      <c r="J4" s="15"/>
      <c r="K4" s="15"/>
      <c r="L4" s="15"/>
      <c r="M4" s="15"/>
      <c r="N4" s="15"/>
      <c r="O4" s="15"/>
      <c r="P4" s="15"/>
      <c r="Q4" s="15"/>
      <c r="R4" s="15"/>
      <c r="S4" s="15"/>
      <c r="T4" s="15"/>
      <c r="U4" s="15"/>
      <c r="V4" s="15"/>
      <c r="W4" s="15"/>
      <c r="X4" s="15"/>
      <c r="Y4" s="15"/>
      <c r="Z4" s="15"/>
    </row>
    <row r="5">
      <c r="A5" s="15"/>
      <c r="B5" s="15"/>
      <c r="C5" s="18" t="s">
        <v>82</v>
      </c>
      <c r="D5" s="15"/>
      <c r="E5" s="15"/>
      <c r="F5" s="15"/>
      <c r="G5" s="15"/>
      <c r="H5" s="15"/>
      <c r="I5" s="15"/>
      <c r="J5" s="15"/>
      <c r="K5" s="15"/>
      <c r="L5" s="15"/>
      <c r="M5" s="15"/>
      <c r="N5" s="15"/>
      <c r="O5" s="15"/>
      <c r="P5" s="15"/>
      <c r="Q5" s="15"/>
      <c r="R5" s="15"/>
      <c r="S5" s="15"/>
      <c r="T5" s="15"/>
      <c r="U5" s="15"/>
      <c r="V5" s="15"/>
      <c r="W5" s="15"/>
      <c r="X5" s="15"/>
      <c r="Y5" s="15"/>
      <c r="Z5" s="15"/>
    </row>
    <row r="6">
      <c r="A6" s="15"/>
      <c r="B6" s="15"/>
      <c r="C6" s="18" t="s">
        <v>83</v>
      </c>
      <c r="D6" s="15"/>
      <c r="E6" s="15"/>
      <c r="F6" s="15"/>
      <c r="G6" s="15"/>
      <c r="H6" s="15"/>
      <c r="I6" s="15"/>
      <c r="J6" s="15"/>
      <c r="K6" s="15"/>
      <c r="L6" s="15"/>
      <c r="M6" s="15"/>
      <c r="N6" s="15"/>
      <c r="O6" s="15"/>
      <c r="P6" s="15"/>
      <c r="Q6" s="15"/>
      <c r="R6" s="15"/>
      <c r="S6" s="15"/>
      <c r="T6" s="15"/>
      <c r="U6" s="15"/>
      <c r="V6" s="15"/>
      <c r="W6" s="15"/>
      <c r="X6" s="15"/>
      <c r="Y6" s="15"/>
      <c r="Z6" s="15"/>
    </row>
    <row r="7">
      <c r="A7" s="15"/>
      <c r="B7" s="15"/>
      <c r="C7" s="15"/>
      <c r="D7" s="15"/>
      <c r="E7" s="15"/>
      <c r="F7" s="15"/>
      <c r="G7" s="15"/>
      <c r="H7" s="15"/>
      <c r="I7" s="15"/>
      <c r="J7" s="15"/>
      <c r="K7" s="15"/>
      <c r="L7" s="15"/>
      <c r="M7" s="15"/>
      <c r="N7" s="15"/>
      <c r="O7" s="15"/>
      <c r="P7" s="15"/>
      <c r="Q7" s="15"/>
      <c r="R7" s="15"/>
      <c r="S7" s="15"/>
      <c r="T7" s="15"/>
      <c r="U7" s="15"/>
      <c r="V7" s="15"/>
      <c r="W7" s="15"/>
      <c r="X7" s="15"/>
      <c r="Y7" s="15"/>
      <c r="Z7" s="15"/>
    </row>
    <row r="8">
      <c r="A8" s="15"/>
      <c r="B8" s="15"/>
      <c r="C8" s="15"/>
      <c r="D8" s="15"/>
      <c r="E8" s="15"/>
      <c r="F8" s="15"/>
      <c r="G8" s="15"/>
      <c r="H8" s="15"/>
      <c r="I8" s="15"/>
      <c r="J8" s="15"/>
      <c r="K8" s="15"/>
      <c r="L8" s="15"/>
      <c r="M8" s="15"/>
      <c r="N8" s="15"/>
      <c r="O8" s="15"/>
      <c r="P8" s="15"/>
      <c r="Q8" s="15"/>
      <c r="R8" s="15"/>
      <c r="S8" s="15"/>
      <c r="T8" s="15"/>
      <c r="U8" s="15"/>
      <c r="V8" s="15"/>
      <c r="W8" s="15"/>
      <c r="X8" s="15"/>
      <c r="Y8" s="15"/>
      <c r="Z8" s="15"/>
    </row>
    <row r="9">
      <c r="A9" s="15"/>
      <c r="B9" s="15"/>
      <c r="C9" s="19" t="s">
        <v>84</v>
      </c>
      <c r="D9" s="20" t="s">
        <v>85</v>
      </c>
      <c r="E9" s="21" t="s">
        <v>80</v>
      </c>
      <c r="F9" s="15"/>
      <c r="G9" s="15"/>
      <c r="H9" s="15"/>
      <c r="I9" s="15"/>
      <c r="J9" s="15"/>
      <c r="K9" s="15"/>
      <c r="L9" s="15"/>
      <c r="M9" s="15"/>
      <c r="N9" s="15"/>
      <c r="O9" s="15"/>
      <c r="P9" s="15"/>
      <c r="Q9" s="15"/>
      <c r="R9" s="15"/>
      <c r="S9" s="15"/>
      <c r="T9" s="15"/>
      <c r="U9" s="15"/>
      <c r="V9" s="15"/>
      <c r="W9" s="15"/>
      <c r="X9" s="15"/>
      <c r="Y9" s="15"/>
      <c r="Z9" s="15"/>
    </row>
    <row r="10" ht="66.0" customHeight="1">
      <c r="A10" s="15"/>
      <c r="B10" s="15"/>
      <c r="C10" s="22" t="s">
        <v>86</v>
      </c>
      <c r="D10" s="23" t="s">
        <v>87</v>
      </c>
      <c r="E10" s="24" t="s">
        <v>88</v>
      </c>
      <c r="F10" s="15"/>
      <c r="G10" s="15"/>
      <c r="H10" s="15"/>
      <c r="I10" s="15"/>
      <c r="J10" s="15"/>
      <c r="K10" s="15"/>
      <c r="L10" s="15"/>
      <c r="M10" s="15"/>
      <c r="N10" s="15"/>
      <c r="O10" s="15"/>
      <c r="P10" s="15"/>
      <c r="Q10" s="15"/>
      <c r="R10" s="15"/>
      <c r="S10" s="15"/>
      <c r="T10" s="15"/>
      <c r="U10" s="15"/>
      <c r="V10" s="15"/>
      <c r="W10" s="15"/>
      <c r="X10" s="15"/>
      <c r="Y10" s="15"/>
      <c r="Z10" s="15"/>
    </row>
    <row r="11">
      <c r="A11" s="15"/>
      <c r="B11" s="15"/>
      <c r="C11" s="22" t="s">
        <v>89</v>
      </c>
      <c r="D11" s="23" t="s">
        <v>90</v>
      </c>
      <c r="E11" s="24" t="s">
        <v>91</v>
      </c>
      <c r="F11" s="15"/>
      <c r="G11" s="15"/>
      <c r="H11" s="15"/>
      <c r="I11" s="15"/>
      <c r="J11" s="15"/>
      <c r="K11" s="15"/>
      <c r="L11" s="15"/>
      <c r="M11" s="15"/>
      <c r="N11" s="15"/>
      <c r="O11" s="15"/>
      <c r="P11" s="15"/>
      <c r="Q11" s="15"/>
      <c r="R11" s="15"/>
      <c r="S11" s="15"/>
      <c r="T11" s="15"/>
      <c r="U11" s="15"/>
      <c r="V11" s="15"/>
      <c r="W11" s="15"/>
      <c r="X11" s="15"/>
      <c r="Y11" s="15"/>
      <c r="Z11" s="15"/>
    </row>
    <row r="12" ht="72.75" customHeight="1">
      <c r="A12" s="15"/>
      <c r="B12" s="15"/>
      <c r="C12" s="22" t="s">
        <v>92</v>
      </c>
      <c r="D12" s="23" t="s">
        <v>93</v>
      </c>
      <c r="E12" s="24" t="s">
        <v>94</v>
      </c>
      <c r="F12" s="15"/>
      <c r="G12" s="15"/>
      <c r="H12" s="15"/>
      <c r="I12" s="15"/>
      <c r="J12" s="15"/>
      <c r="K12" s="15"/>
      <c r="L12" s="15"/>
      <c r="M12" s="15"/>
      <c r="N12" s="15"/>
      <c r="O12" s="15"/>
      <c r="P12" s="15"/>
      <c r="Q12" s="15"/>
      <c r="R12" s="15"/>
      <c r="S12" s="15"/>
      <c r="T12" s="15"/>
      <c r="U12" s="15"/>
      <c r="V12" s="15"/>
      <c r="W12" s="15"/>
      <c r="X12" s="15"/>
      <c r="Y12" s="15"/>
      <c r="Z12" s="15"/>
    </row>
    <row r="13" ht="57.0" customHeight="1">
      <c r="A13" s="15"/>
      <c r="B13" s="15"/>
      <c r="C13" s="22" t="s">
        <v>95</v>
      </c>
      <c r="D13" s="23" t="s">
        <v>96</v>
      </c>
      <c r="E13" s="24" t="s">
        <v>97</v>
      </c>
      <c r="F13" s="15"/>
      <c r="G13" s="15"/>
      <c r="H13" s="15"/>
      <c r="I13" s="15"/>
      <c r="J13" s="15"/>
      <c r="K13" s="15"/>
      <c r="L13" s="15"/>
      <c r="M13" s="15"/>
      <c r="N13" s="15"/>
      <c r="O13" s="15"/>
      <c r="P13" s="15"/>
      <c r="Q13" s="15"/>
      <c r="R13" s="15"/>
      <c r="S13" s="15"/>
      <c r="T13" s="15"/>
      <c r="U13" s="15"/>
      <c r="V13" s="15"/>
      <c r="W13" s="15"/>
      <c r="X13" s="15"/>
      <c r="Y13" s="15"/>
      <c r="Z13" s="15"/>
    </row>
    <row r="14">
      <c r="A14" s="15"/>
      <c r="B14" s="15"/>
      <c r="C14" s="22" t="s">
        <v>98</v>
      </c>
      <c r="D14" s="23" t="s">
        <v>99</v>
      </c>
      <c r="E14" s="24" t="s">
        <v>100</v>
      </c>
      <c r="F14" s="15"/>
      <c r="G14" s="15"/>
      <c r="H14" s="15"/>
      <c r="I14" s="15"/>
      <c r="J14" s="15"/>
      <c r="K14" s="15"/>
      <c r="L14" s="15"/>
      <c r="M14" s="15"/>
      <c r="N14" s="15"/>
      <c r="O14" s="15"/>
      <c r="P14" s="15"/>
      <c r="Q14" s="15"/>
      <c r="R14" s="15"/>
      <c r="S14" s="15"/>
      <c r="T14" s="15"/>
      <c r="U14" s="15"/>
      <c r="V14" s="15"/>
      <c r="W14" s="15"/>
      <c r="X14" s="15"/>
      <c r="Y14" s="15"/>
      <c r="Z14" s="15"/>
    </row>
    <row r="15">
      <c r="A15" s="15"/>
      <c r="B15" s="15"/>
      <c r="C15" s="22" t="s">
        <v>101</v>
      </c>
      <c r="D15" s="23" t="s">
        <v>102</v>
      </c>
      <c r="E15" s="24" t="s">
        <v>103</v>
      </c>
      <c r="F15" s="15"/>
      <c r="G15" s="15"/>
      <c r="H15" s="15"/>
      <c r="I15" s="15"/>
      <c r="J15" s="15"/>
      <c r="K15" s="15"/>
      <c r="L15" s="15"/>
      <c r="M15" s="15"/>
      <c r="N15" s="15"/>
      <c r="O15" s="15"/>
      <c r="P15" s="15"/>
      <c r="Q15" s="15"/>
      <c r="R15" s="15"/>
      <c r="S15" s="15"/>
      <c r="T15" s="15"/>
      <c r="U15" s="15"/>
      <c r="V15" s="15"/>
      <c r="W15" s="15"/>
      <c r="X15" s="15"/>
      <c r="Y15" s="15"/>
      <c r="Z15" s="15"/>
    </row>
    <row r="16">
      <c r="A16" s="15"/>
      <c r="B16" s="15"/>
      <c r="C16" s="25"/>
      <c r="D16" s="25"/>
      <c r="E16" s="25"/>
      <c r="F16" s="15"/>
      <c r="G16" s="15"/>
      <c r="H16" s="15"/>
      <c r="I16" s="15"/>
      <c r="J16" s="15"/>
      <c r="K16" s="15"/>
      <c r="L16" s="15"/>
      <c r="M16" s="15"/>
      <c r="N16" s="15"/>
      <c r="O16" s="15"/>
      <c r="P16" s="15"/>
      <c r="Q16" s="15"/>
      <c r="R16" s="15"/>
      <c r="S16" s="15"/>
      <c r="T16" s="15"/>
      <c r="U16" s="15"/>
      <c r="V16" s="15"/>
      <c r="W16" s="15"/>
      <c r="X16" s="15"/>
      <c r="Y16" s="15"/>
      <c r="Z16" s="15"/>
    </row>
    <row r="17">
      <c r="A17" s="15"/>
      <c r="B17" s="15"/>
      <c r="C17" s="25"/>
      <c r="D17" s="25"/>
      <c r="E17" s="25"/>
      <c r="F17" s="15"/>
      <c r="G17" s="15"/>
      <c r="H17" s="15"/>
      <c r="I17" s="15"/>
      <c r="J17" s="15"/>
      <c r="K17" s="15"/>
      <c r="L17" s="15"/>
      <c r="M17" s="15"/>
      <c r="N17" s="15"/>
      <c r="O17" s="15"/>
      <c r="P17" s="15"/>
      <c r="Q17" s="15"/>
      <c r="R17" s="15"/>
      <c r="S17" s="15"/>
      <c r="T17" s="15"/>
      <c r="U17" s="15"/>
      <c r="V17" s="15"/>
      <c r="W17" s="15"/>
      <c r="X17" s="15"/>
      <c r="Y17" s="15"/>
      <c r="Z17" s="15"/>
    </row>
    <row r="18">
      <c r="A18" s="15"/>
      <c r="B18" s="15"/>
      <c r="C18" s="25"/>
      <c r="D18" s="25"/>
      <c r="E18" s="25"/>
      <c r="F18" s="15"/>
      <c r="G18" s="15"/>
      <c r="H18" s="15"/>
      <c r="I18" s="15"/>
      <c r="J18" s="15"/>
      <c r="K18" s="15"/>
      <c r="L18" s="15"/>
      <c r="M18" s="15"/>
      <c r="N18" s="15"/>
      <c r="O18" s="15"/>
      <c r="P18" s="15"/>
      <c r="Q18" s="15"/>
      <c r="R18" s="15"/>
      <c r="S18" s="15"/>
      <c r="T18" s="15"/>
      <c r="U18" s="15"/>
      <c r="V18" s="15"/>
      <c r="W18" s="15"/>
      <c r="X18" s="15"/>
      <c r="Y18" s="15"/>
      <c r="Z18" s="15"/>
    </row>
    <row r="19">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row>
    <row r="20">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row>
    <row r="21">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row>
    <row r="22">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row>
    <row r="2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row>
    <row r="24">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c r="A41" s="15"/>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c r="A42" s="15"/>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c r="A44" s="15"/>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c r="A45" s="15"/>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c r="A46" s="15"/>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c r="A47" s="15"/>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cols>
    <col customWidth="1" min="3" max="3" width="41.43"/>
    <col customWidth="1" min="4" max="4" width="48.14"/>
  </cols>
  <sheetData>
    <row r="2">
      <c r="B2" s="26" t="s">
        <v>104</v>
      </c>
      <c r="C2" s="26" t="s">
        <v>105</v>
      </c>
      <c r="D2" s="26" t="s">
        <v>106</v>
      </c>
    </row>
    <row r="3">
      <c r="B3" s="27" t="str">
        <f t="shared" ref="B3:D3" si="1">#REF!</f>
        <v>#REF!</v>
      </c>
      <c r="C3" s="27" t="str">
        <f t="shared" si="1"/>
        <v>#REF!</v>
      </c>
      <c r="D3" s="27" t="str">
        <f t="shared" si="1"/>
        <v>#REF!</v>
      </c>
    </row>
    <row r="4">
      <c r="B4" s="27" t="str">
        <f>'Matriz de Riesgos'!A4</f>
        <v>RS-01</v>
      </c>
      <c r="C4" s="27" t="str">
        <f>'Matriz de Riesgos'!B4</f>
        <v>Caída de Azure DevOps</v>
      </c>
      <c r="D4" s="27" t="str">
        <f>'Matriz de Riesgos'!D4</f>
        <v>La planeación del desarrollo de software es llevada acabo a través de Azure DevOps. Por lo tanto si este falla, los desarrolladores no podrán visualizar cosas importantes dentro del desarrollo del proyecto.</v>
      </c>
    </row>
    <row r="5">
      <c r="B5" s="27" t="str">
        <f>'Matriz de Riesgos'!A5</f>
        <v>RS-02</v>
      </c>
      <c r="C5" s="27" t="str">
        <f>'Matriz de Riesgos'!B5</f>
        <v>Falta de capacitación del equipo de desarrollo</v>
      </c>
      <c r="D5" s="27" t="str">
        <f>'Matriz de Riesgos'!D5</f>
        <v>El sistema se desarrollará utilizando el lenguaje de programación Angular. Ninguno de los cinco miembros tiene experiencia utilizando dicho lenguaje.</v>
      </c>
    </row>
    <row r="6">
      <c r="B6" s="27" t="str">
        <f t="shared" ref="B6:D6" si="2">#REF!</f>
        <v>#REF!</v>
      </c>
      <c r="C6" s="27" t="str">
        <f t="shared" si="2"/>
        <v>#REF!</v>
      </c>
      <c r="D6" s="27" t="str">
        <f t="shared" si="2"/>
        <v>#REF!</v>
      </c>
    </row>
    <row r="7">
      <c r="B7" s="27" t="str">
        <f>'Matriz de Riesgos'!A6</f>
        <v>RS-03</v>
      </c>
      <c r="C7" s="27" t="str">
        <f>'Matriz de Riesgos'!B6</f>
        <v>Pérdida de comunicación con el socio formador</v>
      </c>
      <c r="D7" s="27" t="str">
        <f>'Matriz de Riesgos'!D6</f>
        <v>El socio formador es nuestro cliente, por lo que si se pierde comunicación constante con ellos puede que la aplicación no cumpla con sus necesidades. </v>
      </c>
    </row>
    <row r="8">
      <c r="B8" s="27" t="str">
        <f t="shared" ref="B8:D8" si="3">#REF!</f>
        <v>#REF!</v>
      </c>
      <c r="C8" s="27" t="str">
        <f t="shared" si="3"/>
        <v>#REF!</v>
      </c>
      <c r="D8" s="27" t="str">
        <f t="shared" si="3"/>
        <v>#REF!</v>
      </c>
    </row>
    <row r="9">
      <c r="B9" s="27" t="str">
        <f>'Matriz de Riesgos'!A7</f>
        <v>RS-04</v>
      </c>
      <c r="C9" s="27" t="str">
        <f>'Matriz de Riesgos'!B7</f>
        <v>No tener el proyecto terminado antes de la fecha de entrega acordada con el Socio Formador</v>
      </c>
      <c r="D9" s="27" t="str">
        <f>'Matriz de Riesgos'!D7</f>
        <v>Tenemos un tiempo establecido para desarrollar el software. Si no lo tenemos listo antes de la fecha acordada, no cumpliremos con la expectativa del cliente.</v>
      </c>
    </row>
    <row r="10">
      <c r="B10" s="27" t="str">
        <f t="shared" ref="B10:D10" si="4">#REF!</f>
        <v>#REF!</v>
      </c>
      <c r="C10" s="27" t="str">
        <f t="shared" si="4"/>
        <v>#REF!</v>
      </c>
      <c r="D10" s="27" t="str">
        <f t="shared" si="4"/>
        <v>#REF!</v>
      </c>
    </row>
    <row r="11">
      <c r="B11" s="27" t="str">
        <f>'Matriz de Riesgos'!A8</f>
        <v>RS-05</v>
      </c>
      <c r="C11" s="27" t="str">
        <f>'Matriz de Riesgos'!B8</f>
        <v>El socio formador nos cambia los requerimientos a última hora</v>
      </c>
      <c r="D11" s="27" t="str">
        <f>'Matriz de Riesgos'!D8</f>
        <v>El proyecto es creado en base a los requerimientos asignados por el socio formador, por lo cual si el socio formador decide cambiar los requerimientos a ultima hora, el proyecto estaría incompleto</v>
      </c>
    </row>
    <row r="12">
      <c r="B12" s="27" t="str">
        <f t="shared" ref="B12:D12" si="5">#REF!</f>
        <v>#REF!</v>
      </c>
      <c r="C12" s="27" t="str">
        <f t="shared" si="5"/>
        <v>#REF!</v>
      </c>
      <c r="D12" s="27" t="str">
        <f t="shared" si="5"/>
        <v>#REF!</v>
      </c>
    </row>
    <row r="13">
      <c r="B13" s="27" t="str">
        <f t="shared" ref="B13:D13" si="6">#REF!</f>
        <v>#REF!</v>
      </c>
      <c r="C13" s="27" t="str">
        <f t="shared" si="6"/>
        <v>#REF!</v>
      </c>
      <c r="D13" s="27" t="str">
        <f t="shared" si="6"/>
        <v>#REF!</v>
      </c>
    </row>
    <row r="14">
      <c r="B14" s="27" t="str">
        <f>'Matriz de Riesgos'!A9</f>
        <v>RS-06</v>
      </c>
      <c r="C14" s="27" t="str">
        <f>'Matriz de Riesgos'!B9</f>
        <v>Baja calidad de código</v>
      </c>
      <c r="D14" s="27" t="str">
        <f>'Matriz de Riesgos'!D9</f>
        <v>Como miembros del equipo serémos responsables de codificar front end y back end del proyecto en Angular y C# respectivamente</v>
      </c>
    </row>
    <row r="15">
      <c r="B15" s="27" t="str">
        <f>'Matriz de Riesgos'!A10</f>
        <v>RS-07</v>
      </c>
      <c r="C15" s="27" t="str">
        <f>'Matriz de Riesgos'!B10</f>
        <v>Cantidad baja de pruebas de software</v>
      </c>
      <c r="D15" s="27" t="str">
        <f>'Matriz de Riesgos'!D10</f>
        <v>Una de las prácticas importantes y que muchos desarrolladores no lo llevan a cabo de manera correcta son las pruebas de software. Tenemos que realizar las prubeas suficientes para probar que todo esté bien</v>
      </c>
    </row>
    <row r="16">
      <c r="B16" s="27" t="str">
        <f>'Matriz de Riesgos'!A11</f>
        <v>RS-08</v>
      </c>
      <c r="C16" s="27" t="str">
        <f>'Matriz de Riesgos'!B11</f>
        <v>El proyecto no cubre las necesidades del socio formador</v>
      </c>
      <c r="D16" s="27" t="str">
        <f>'Matriz de Riesgos'!D11</f>
        <v>El proyecto en el que estámos trabajando es para cubrir la necesidad de nuestro cliente, no lo que nosotros creamos que es la necesidad del cliente.</v>
      </c>
    </row>
    <row r="17">
      <c r="B17" s="27" t="str">
        <f>'Matriz de Riesgos'!A12</f>
        <v>RS-09</v>
      </c>
      <c r="C17" s="27" t="str">
        <f>'Matriz de Riesgos'!B12</f>
        <v>Poca escalabilidad y mantenibilidad del proyecto</v>
      </c>
      <c r="D17" s="27" t="str">
        <f>'Matriz de Riesgos'!D12</f>
        <v>Pudiera ser que el socio formador llegara a querer agregar más funcionalidades al sistema y de no hacer el proyecto de manera correcta esto tal vez no sería posible y si sí, sería muy costoso</v>
      </c>
    </row>
  </sheetData>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sheetData>
    <row r="2">
      <c r="B2" s="28" t="s">
        <v>107</v>
      </c>
      <c r="C2" s="29"/>
      <c r="D2" s="29"/>
      <c r="E2" s="29"/>
      <c r="F2" s="29"/>
      <c r="G2" s="29"/>
      <c r="H2" s="29"/>
      <c r="I2" s="30"/>
    </row>
    <row r="3">
      <c r="B3" s="31"/>
      <c r="C3" s="32"/>
      <c r="D3" s="33"/>
      <c r="E3" s="34" t="s">
        <v>108</v>
      </c>
      <c r="F3" s="35"/>
      <c r="G3" s="35"/>
      <c r="H3" s="35"/>
      <c r="I3" s="36"/>
    </row>
    <row r="4">
      <c r="B4" s="37"/>
      <c r="C4" s="38"/>
      <c r="D4" s="39"/>
      <c r="E4" s="40" t="s">
        <v>109</v>
      </c>
      <c r="F4" s="41" t="s">
        <v>110</v>
      </c>
      <c r="G4" s="41" t="s">
        <v>111</v>
      </c>
      <c r="H4" s="41" t="s">
        <v>112</v>
      </c>
      <c r="I4" s="41" t="s">
        <v>113</v>
      </c>
    </row>
    <row r="5">
      <c r="B5" s="42" t="s">
        <v>114</v>
      </c>
      <c r="C5" s="43" t="s">
        <v>115</v>
      </c>
      <c r="D5" s="44">
        <v>5.0</v>
      </c>
      <c r="E5" s="45">
        <v>5.0</v>
      </c>
      <c r="F5" s="46">
        <v>10.0</v>
      </c>
      <c r="G5" s="47">
        <v>15.0</v>
      </c>
      <c r="H5" s="47">
        <v>20.0</v>
      </c>
      <c r="I5" s="47">
        <v>25.0</v>
      </c>
    </row>
    <row r="6">
      <c r="B6" s="48"/>
      <c r="C6" s="49" t="s">
        <v>116</v>
      </c>
      <c r="D6" s="50">
        <v>4.0</v>
      </c>
      <c r="E6" s="45">
        <v>4.0</v>
      </c>
      <c r="F6" s="45">
        <v>8.0</v>
      </c>
      <c r="G6" s="46">
        <v>12.0</v>
      </c>
      <c r="H6" s="47">
        <v>16.0</v>
      </c>
      <c r="I6" s="47">
        <v>20.0</v>
      </c>
    </row>
    <row r="7">
      <c r="B7" s="48"/>
      <c r="C7" s="49" t="s">
        <v>117</v>
      </c>
      <c r="D7" s="50">
        <v>3.0</v>
      </c>
      <c r="E7" s="45">
        <v>3.0</v>
      </c>
      <c r="F7" s="45">
        <v>6.0</v>
      </c>
      <c r="G7" s="46">
        <v>9.0</v>
      </c>
      <c r="H7" s="46">
        <v>12.0</v>
      </c>
      <c r="I7" s="47">
        <v>15.0</v>
      </c>
    </row>
    <row r="8">
      <c r="B8" s="48"/>
      <c r="C8" s="49" t="s">
        <v>118</v>
      </c>
      <c r="D8" s="50">
        <v>2.0</v>
      </c>
      <c r="E8" s="51">
        <v>2.0</v>
      </c>
      <c r="F8" s="45">
        <v>4.0</v>
      </c>
      <c r="G8" s="45">
        <v>6.0</v>
      </c>
      <c r="H8" s="45">
        <v>8.0</v>
      </c>
      <c r="I8" s="46">
        <v>12.0</v>
      </c>
    </row>
    <row r="9">
      <c r="B9" s="52"/>
      <c r="C9" s="49" t="s">
        <v>119</v>
      </c>
      <c r="D9" s="50">
        <v>1.0</v>
      </c>
      <c r="E9" s="51">
        <v>1.0</v>
      </c>
      <c r="F9" s="51">
        <v>2.0</v>
      </c>
      <c r="G9" s="45">
        <v>3.0</v>
      </c>
      <c r="H9" s="45">
        <v>4.0</v>
      </c>
      <c r="I9" s="45">
        <v>5.0</v>
      </c>
    </row>
    <row r="11">
      <c r="B11" s="53"/>
      <c r="C11" s="54" t="s">
        <v>120</v>
      </c>
      <c r="D11" s="29"/>
      <c r="E11" s="29"/>
      <c r="F11" s="29"/>
      <c r="G11" s="29"/>
      <c r="H11" s="29"/>
      <c r="I11" s="30"/>
    </row>
    <row r="12">
      <c r="B12" s="52"/>
      <c r="C12" s="55"/>
      <c r="D12" s="56"/>
      <c r="E12" s="56"/>
      <c r="F12" s="56"/>
      <c r="G12" s="56"/>
      <c r="H12" s="56"/>
      <c r="I12" s="57"/>
    </row>
    <row r="13">
      <c r="B13" s="58"/>
      <c r="C13" s="54" t="s">
        <v>121</v>
      </c>
      <c r="D13" s="29"/>
      <c r="E13" s="29"/>
      <c r="F13" s="29"/>
      <c r="G13" s="29"/>
      <c r="H13" s="29"/>
      <c r="I13" s="30"/>
    </row>
    <row r="14">
      <c r="B14" s="52"/>
      <c r="C14" s="55"/>
      <c r="D14" s="56"/>
      <c r="E14" s="56"/>
      <c r="F14" s="56"/>
      <c r="G14" s="56"/>
      <c r="H14" s="56"/>
      <c r="I14" s="57"/>
    </row>
    <row r="15">
      <c r="B15" s="59"/>
      <c r="C15" s="54" t="s">
        <v>122</v>
      </c>
      <c r="D15" s="29"/>
      <c r="E15" s="29"/>
      <c r="F15" s="29"/>
      <c r="G15" s="29"/>
      <c r="H15" s="29"/>
      <c r="I15" s="30"/>
    </row>
    <row r="16">
      <c r="B16" s="52"/>
      <c r="C16" s="55"/>
      <c r="D16" s="56"/>
      <c r="E16" s="56"/>
      <c r="F16" s="56"/>
      <c r="G16" s="56"/>
      <c r="H16" s="56"/>
      <c r="I16" s="57"/>
    </row>
    <row r="17">
      <c r="B17" s="60"/>
      <c r="C17" s="54" t="s">
        <v>123</v>
      </c>
      <c r="D17" s="29"/>
      <c r="E17" s="29"/>
      <c r="F17" s="29"/>
      <c r="G17" s="29"/>
      <c r="H17" s="29"/>
      <c r="I17" s="30"/>
    </row>
    <row r="18">
      <c r="B18" s="52"/>
      <c r="C18" s="55"/>
      <c r="D18" s="56"/>
      <c r="E18" s="56"/>
      <c r="F18" s="56"/>
      <c r="G18" s="56"/>
      <c r="H18" s="56"/>
      <c r="I18" s="57"/>
    </row>
  </sheetData>
  <mergeCells count="11">
    <mergeCell ref="B15:B16"/>
    <mergeCell ref="C15:I16"/>
    <mergeCell ref="B17:B18"/>
    <mergeCell ref="C17:I18"/>
    <mergeCell ref="B2:I2"/>
    <mergeCell ref="E3:I3"/>
    <mergeCell ref="B5:B9"/>
    <mergeCell ref="B11:B12"/>
    <mergeCell ref="C11:I12"/>
    <mergeCell ref="B13:B14"/>
    <mergeCell ref="C13:I14"/>
  </mergeCells>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2005-12-18T12:34:24Z</dcterms:created>
  <dc:creator>Miguel Recio</dc:creator>
</cp:coreProperties>
</file>